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3"/>
  <workbookPr defaultThemeVersion="166925"/>
  <xr:revisionPtr revIDLastSave="0" documentId="8_{854AA36B-16AF-4F62-8EAD-2A7345A3E2E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2" i="1"/>
  <c r="G11" i="1"/>
  <c r="G10" i="1"/>
  <c r="G9" i="1"/>
  <c r="G8" i="1"/>
  <c r="G7" i="1"/>
  <c r="G6" i="1"/>
  <c r="G5" i="1"/>
  <c r="G4" i="1"/>
  <c r="G3" i="1"/>
</calcChain>
</file>

<file path=xl/sharedStrings.xml><?xml version="1.0" encoding="utf-8"?>
<sst xmlns="http://schemas.openxmlformats.org/spreadsheetml/2006/main" count="215" uniqueCount="120">
  <si>
    <t>Student Name</t>
  </si>
  <si>
    <t>Department</t>
  </si>
  <si>
    <t>Age</t>
  </si>
  <si>
    <t>Test Score</t>
  </si>
  <si>
    <t>Attendance %</t>
  </si>
  <si>
    <t>PERFORMANCE INDEX</t>
  </si>
  <si>
    <t>Student 001</t>
  </si>
  <si>
    <t>Business Admin</t>
  </si>
  <si>
    <t>Student 002</t>
  </si>
  <si>
    <t>Engineering</t>
  </si>
  <si>
    <t>SUM(Total test score)</t>
  </si>
  <si>
    <t>Student 003</t>
  </si>
  <si>
    <t>Computer Science</t>
  </si>
  <si>
    <t>SUM(Total Attendance)</t>
  </si>
  <si>
    <t>Student 004</t>
  </si>
  <si>
    <t>AVERAGE(Age)</t>
  </si>
  <si>
    <t>Student 005</t>
  </si>
  <si>
    <t>AVERAGE(Test score)</t>
  </si>
  <si>
    <t>Student 006</t>
  </si>
  <si>
    <t>Accounting</t>
  </si>
  <si>
    <t>MIN(Lowest Test score)</t>
  </si>
  <si>
    <t>Student 007</t>
  </si>
  <si>
    <t>MAX(Highest test score)</t>
  </si>
  <si>
    <t>Student 008</t>
  </si>
  <si>
    <t>COUNT(Test score)</t>
  </si>
  <si>
    <t>Student 009</t>
  </si>
  <si>
    <t>COUNTA(Student name)</t>
  </si>
  <si>
    <t>Student 010</t>
  </si>
  <si>
    <t>COUNTBLANK(Test score)</t>
  </si>
  <si>
    <t>Student 011</t>
  </si>
  <si>
    <t>Student 012</t>
  </si>
  <si>
    <t>Student 013</t>
  </si>
  <si>
    <t>Student 014</t>
  </si>
  <si>
    <t>Student 015</t>
  </si>
  <si>
    <t>Student 016</t>
  </si>
  <si>
    <t>Student 017</t>
  </si>
  <si>
    <t>Student 018</t>
  </si>
  <si>
    <t>Student 019</t>
  </si>
  <si>
    <t>Economics</t>
  </si>
  <si>
    <t>Student 020</t>
  </si>
  <si>
    <t>Student 021</t>
  </si>
  <si>
    <t>Student 022</t>
  </si>
  <si>
    <t>Student 023</t>
  </si>
  <si>
    <t>Student 024</t>
  </si>
  <si>
    <t>Student 025</t>
  </si>
  <si>
    <t>Student 026</t>
  </si>
  <si>
    <t>Student 027</t>
  </si>
  <si>
    <t>Student 028</t>
  </si>
  <si>
    <t>Student 029</t>
  </si>
  <si>
    <t>Student 030</t>
  </si>
  <si>
    <t>Student 031</t>
  </si>
  <si>
    <t>Student 032</t>
  </si>
  <si>
    <t>Student 033</t>
  </si>
  <si>
    <t>Student 034</t>
  </si>
  <si>
    <t>Student 035</t>
  </si>
  <si>
    <t>Student 036</t>
  </si>
  <si>
    <t>Student 037</t>
  </si>
  <si>
    <t>Student 038</t>
  </si>
  <si>
    <t>Student 039</t>
  </si>
  <si>
    <t>Student 040</t>
  </si>
  <si>
    <t>Student 041</t>
  </si>
  <si>
    <t>Student 042</t>
  </si>
  <si>
    <t>Student 043</t>
  </si>
  <si>
    <t>Student 044</t>
  </si>
  <si>
    <t>Student 045</t>
  </si>
  <si>
    <t>Student 046</t>
  </si>
  <si>
    <t>Student 047</t>
  </si>
  <si>
    <t>Student 048</t>
  </si>
  <si>
    <t>Student 049</t>
  </si>
  <si>
    <t>Student 050</t>
  </si>
  <si>
    <t>Student 051</t>
  </si>
  <si>
    <t>Student 052</t>
  </si>
  <si>
    <t>Student 053</t>
  </si>
  <si>
    <t>Student 054</t>
  </si>
  <si>
    <t>Student 055</t>
  </si>
  <si>
    <t>Student 056</t>
  </si>
  <si>
    <t>Student 057</t>
  </si>
  <si>
    <t>Student 058</t>
  </si>
  <si>
    <t>Student 059</t>
  </si>
  <si>
    <t>Student 060</t>
  </si>
  <si>
    <t>Student 061</t>
  </si>
  <si>
    <t>Student 062</t>
  </si>
  <si>
    <t>Student 063</t>
  </si>
  <si>
    <t>Student 064</t>
  </si>
  <si>
    <t>Student 065</t>
  </si>
  <si>
    <t>Student 066</t>
  </si>
  <si>
    <t>Student 067</t>
  </si>
  <si>
    <t>Student 068</t>
  </si>
  <si>
    <t>Student 069</t>
  </si>
  <si>
    <t>Student 070</t>
  </si>
  <si>
    <t>Student 071</t>
  </si>
  <si>
    <t>Student 072</t>
  </si>
  <si>
    <t>Student 073</t>
  </si>
  <si>
    <t>Student 074</t>
  </si>
  <si>
    <t>Student 075</t>
  </si>
  <si>
    <t>Student 076</t>
  </si>
  <si>
    <t>Student 077</t>
  </si>
  <si>
    <t>Student 078</t>
  </si>
  <si>
    <t>Student 079</t>
  </si>
  <si>
    <t>Student 080</t>
  </si>
  <si>
    <t>Student 081</t>
  </si>
  <si>
    <t>Student 082</t>
  </si>
  <si>
    <t>Student 083</t>
  </si>
  <si>
    <t>Student 084</t>
  </si>
  <si>
    <t>Student 085</t>
  </si>
  <si>
    <t>Student 086</t>
  </si>
  <si>
    <t>Student 087</t>
  </si>
  <si>
    <t>Student 088</t>
  </si>
  <si>
    <t>Student 089</t>
  </si>
  <si>
    <t>Student 090</t>
  </si>
  <si>
    <t>Student 091</t>
  </si>
  <si>
    <t>Student 092</t>
  </si>
  <si>
    <t>Student 093</t>
  </si>
  <si>
    <t>Student 094</t>
  </si>
  <si>
    <t>Student 095</t>
  </si>
  <si>
    <t>Student 096</t>
  </si>
  <si>
    <t>Student 097</t>
  </si>
  <si>
    <t>Student 098</t>
  </si>
  <si>
    <t>Student 099</t>
  </si>
  <si>
    <t>Student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</si>
</sst>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abSelected="1" workbookViewId="0">
      <selection activeCell="K4" sqref="K4"/>
    </sheetView>
  </sheetViews>
  <sheetFormatPr defaultRowHeight="15"/>
  <cols>
    <col min="1" max="1" width="16.5703125" customWidth="1"/>
    <col min="2" max="2" width="14" customWidth="1"/>
    <col min="5" max="5" width="12.28515625" customWidth="1"/>
    <col min="6" max="6" width="24.42578125" customWidth="1"/>
    <col min="8" max="8" width="19.855468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H1" s="3" t="s">
        <v>5</v>
      </c>
    </row>
    <row r="2" spans="1:8">
      <c r="A2" s="2" t="s">
        <v>6</v>
      </c>
      <c r="B2" s="2" t="s">
        <v>7</v>
      </c>
      <c r="C2" s="2">
        <v>29</v>
      </c>
      <c r="D2" s="2">
        <v>37</v>
      </c>
      <c r="E2" s="2">
        <v>83</v>
      </c>
      <c r="H2">
        <f>D2/E2*100</f>
        <v>44.578313253012048</v>
      </c>
    </row>
    <row r="3" spans="1:8">
      <c r="A3" s="2" t="s">
        <v>8</v>
      </c>
      <c r="B3" s="2" t="s">
        <v>9</v>
      </c>
      <c r="C3" s="2">
        <v>24</v>
      </c>
      <c r="D3" s="2">
        <v>90</v>
      </c>
      <c r="E3" s="2">
        <v>100</v>
      </c>
      <c r="F3" t="s">
        <v>10</v>
      </c>
      <c r="G3">
        <f>SUM(D2:D101)</f>
        <v>6167</v>
      </c>
      <c r="H3">
        <f t="shared" ref="H3:H66" si="0">D3/E3*100</f>
        <v>90</v>
      </c>
    </row>
    <row r="4" spans="1:8">
      <c r="A4" s="2" t="s">
        <v>11</v>
      </c>
      <c r="B4" s="2" t="s">
        <v>12</v>
      </c>
      <c r="C4" s="2">
        <v>26</v>
      </c>
      <c r="D4" s="2">
        <v>93</v>
      </c>
      <c r="E4" s="2">
        <v>60</v>
      </c>
      <c r="F4" t="s">
        <v>13</v>
      </c>
      <c r="G4">
        <f>SUM(E2:E101)</f>
        <v>7545</v>
      </c>
      <c r="H4">
        <f t="shared" si="0"/>
        <v>155</v>
      </c>
    </row>
    <row r="5" spans="1:8">
      <c r="A5" s="2" t="s">
        <v>14</v>
      </c>
      <c r="B5" s="2" t="s">
        <v>9</v>
      </c>
      <c r="C5" s="2">
        <v>25</v>
      </c>
      <c r="D5" s="2">
        <v>36</v>
      </c>
      <c r="E5" s="2">
        <v>89</v>
      </c>
      <c r="F5" t="s">
        <v>15</v>
      </c>
      <c r="G5">
        <f>AVERAGE(C2:C101)</f>
        <v>24.4</v>
      </c>
      <c r="H5">
        <f t="shared" si="0"/>
        <v>40.449438202247187</v>
      </c>
    </row>
    <row r="6" spans="1:8">
      <c r="A6" s="2" t="s">
        <v>16</v>
      </c>
      <c r="B6" s="2" t="s">
        <v>9</v>
      </c>
      <c r="C6" s="2">
        <v>29</v>
      </c>
      <c r="D6" s="2">
        <v>36</v>
      </c>
      <c r="E6" s="2">
        <v>95</v>
      </c>
      <c r="F6" t="s">
        <v>17</v>
      </c>
      <c r="G6">
        <f>AVERAGE(D2:D101)</f>
        <v>64.915789473684214</v>
      </c>
      <c r="H6">
        <f t="shared" si="0"/>
        <v>37.894736842105267</v>
      </c>
    </row>
    <row r="7" spans="1:8">
      <c r="A7" s="2" t="s">
        <v>18</v>
      </c>
      <c r="B7" s="2" t="s">
        <v>19</v>
      </c>
      <c r="C7" s="2">
        <v>19</v>
      </c>
      <c r="D7" s="2">
        <v>88</v>
      </c>
      <c r="E7" s="2">
        <v>91</v>
      </c>
      <c r="F7" t="s">
        <v>20</v>
      </c>
      <c r="G7">
        <f>MIN(D2:D101)</f>
        <v>35</v>
      </c>
      <c r="H7">
        <f t="shared" si="0"/>
        <v>96.703296703296701</v>
      </c>
    </row>
    <row r="8" spans="1:8">
      <c r="A8" s="2" t="s">
        <v>21</v>
      </c>
      <c r="B8" s="2" t="s">
        <v>12</v>
      </c>
      <c r="C8" s="2">
        <v>18</v>
      </c>
      <c r="D8" s="2">
        <v>35</v>
      </c>
      <c r="E8" s="2">
        <v>78</v>
      </c>
      <c r="F8" t="s">
        <v>22</v>
      </c>
      <c r="G8">
        <f>MAX(D2:D101)</f>
        <v>100</v>
      </c>
      <c r="H8">
        <f t="shared" si="0"/>
        <v>44.871794871794876</v>
      </c>
    </row>
    <row r="9" spans="1:8">
      <c r="A9" s="2" t="s">
        <v>23</v>
      </c>
      <c r="B9" s="2" t="s">
        <v>12</v>
      </c>
      <c r="C9" s="2">
        <v>24</v>
      </c>
      <c r="E9" s="2">
        <v>83</v>
      </c>
      <c r="F9" t="s">
        <v>24</v>
      </c>
      <c r="G9">
        <f>COUNT(D2:D101)</f>
        <v>95</v>
      </c>
      <c r="H9">
        <f t="shared" si="0"/>
        <v>0</v>
      </c>
    </row>
    <row r="10" spans="1:8">
      <c r="A10" s="2" t="s">
        <v>25</v>
      </c>
      <c r="B10" s="2" t="s">
        <v>12</v>
      </c>
      <c r="C10" s="2">
        <v>24</v>
      </c>
      <c r="D10" s="2">
        <v>36</v>
      </c>
      <c r="E10" s="2">
        <v>100</v>
      </c>
      <c r="F10" t="s">
        <v>26</v>
      </c>
      <c r="G10">
        <f>COUNTA(A2:A101)</f>
        <v>100</v>
      </c>
      <c r="H10">
        <f t="shared" si="0"/>
        <v>36</v>
      </c>
    </row>
    <row r="11" spans="1:8">
      <c r="A11" s="2" t="s">
        <v>27</v>
      </c>
      <c r="B11" s="2" t="s">
        <v>9</v>
      </c>
      <c r="C11" s="2">
        <v>25</v>
      </c>
      <c r="D11" s="2">
        <v>87</v>
      </c>
      <c r="E11" s="2">
        <v>85</v>
      </c>
      <c r="F11" t="s">
        <v>28</v>
      </c>
      <c r="G11">
        <f>COUNTBLANK(D2:D101)</f>
        <v>5</v>
      </c>
      <c r="H11">
        <f t="shared" si="0"/>
        <v>102.35294117647058</v>
      </c>
    </row>
    <row r="12" spans="1:8">
      <c r="A12" s="2" t="s">
        <v>29</v>
      </c>
      <c r="B12" s="2" t="s">
        <v>7</v>
      </c>
      <c r="C12" s="2">
        <v>22</v>
      </c>
      <c r="D12" s="2">
        <v>78</v>
      </c>
      <c r="E12" s="2">
        <v>89</v>
      </c>
      <c r="H12">
        <f t="shared" si="0"/>
        <v>87.640449438202253</v>
      </c>
    </row>
    <row r="13" spans="1:8">
      <c r="A13" s="2" t="s">
        <v>30</v>
      </c>
      <c r="B13" s="2" t="s">
        <v>12</v>
      </c>
      <c r="C13" s="2">
        <v>20</v>
      </c>
      <c r="D13" s="2">
        <v>66</v>
      </c>
      <c r="E13" s="2">
        <v>87</v>
      </c>
      <c r="H13">
        <f t="shared" si="0"/>
        <v>75.862068965517238</v>
      </c>
    </row>
    <row r="14" spans="1:8">
      <c r="A14" s="2" t="s">
        <v>31</v>
      </c>
      <c r="B14" s="2" t="s">
        <v>9</v>
      </c>
      <c r="C14" s="2">
        <v>29</v>
      </c>
      <c r="D14" s="2">
        <v>66</v>
      </c>
      <c r="E14" s="2">
        <v>75</v>
      </c>
      <c r="H14">
        <f t="shared" si="0"/>
        <v>88</v>
      </c>
    </row>
    <row r="15" spans="1:8">
      <c r="A15" s="2" t="s">
        <v>32</v>
      </c>
      <c r="B15" s="2" t="s">
        <v>19</v>
      </c>
      <c r="C15" s="2">
        <v>25</v>
      </c>
      <c r="D15" s="2">
        <v>89</v>
      </c>
      <c r="E15" s="2">
        <v>86</v>
      </c>
      <c r="H15">
        <f t="shared" si="0"/>
        <v>103.48837209302326</v>
      </c>
    </row>
    <row r="16" spans="1:8">
      <c r="A16" s="2" t="s">
        <v>33</v>
      </c>
      <c r="B16" s="2" t="s">
        <v>7</v>
      </c>
      <c r="C16" s="2">
        <v>23</v>
      </c>
      <c r="D16" s="2">
        <v>90</v>
      </c>
      <c r="H16" t="e">
        <f t="shared" si="0"/>
        <v>#DIV/0!</v>
      </c>
    </row>
    <row r="17" spans="1:8">
      <c r="A17" s="2" t="s">
        <v>34</v>
      </c>
      <c r="B17" s="2" t="s">
        <v>19</v>
      </c>
      <c r="C17" s="2">
        <v>28</v>
      </c>
      <c r="D17" s="2">
        <v>51</v>
      </c>
      <c r="E17" s="2">
        <v>87</v>
      </c>
      <c r="H17">
        <f t="shared" si="0"/>
        <v>58.620689655172406</v>
      </c>
    </row>
    <row r="18" spans="1:8">
      <c r="A18" s="2" t="s">
        <v>35</v>
      </c>
      <c r="B18" s="2" t="s">
        <v>7</v>
      </c>
      <c r="C18" s="2">
        <v>20</v>
      </c>
      <c r="D18" s="2">
        <v>72</v>
      </c>
      <c r="E18" s="2">
        <v>57</v>
      </c>
      <c r="H18">
        <f t="shared" si="0"/>
        <v>126.31578947368421</v>
      </c>
    </row>
    <row r="19" spans="1:8">
      <c r="A19" s="2" t="s">
        <v>36</v>
      </c>
      <c r="B19" s="2" t="s">
        <v>9</v>
      </c>
      <c r="C19" s="2">
        <v>18</v>
      </c>
      <c r="D19" s="2">
        <v>58</v>
      </c>
      <c r="E19" s="2">
        <v>72</v>
      </c>
      <c r="H19">
        <f t="shared" si="0"/>
        <v>80.555555555555557</v>
      </c>
    </row>
    <row r="20" spans="1:8">
      <c r="A20" s="2" t="s">
        <v>37</v>
      </c>
      <c r="B20" s="2" t="s">
        <v>38</v>
      </c>
      <c r="C20" s="2">
        <v>20</v>
      </c>
      <c r="D20" s="2">
        <v>45</v>
      </c>
      <c r="E20" s="2">
        <v>79</v>
      </c>
      <c r="H20">
        <f t="shared" si="0"/>
        <v>56.962025316455701</v>
      </c>
    </row>
    <row r="21" spans="1:8">
      <c r="A21" s="2" t="s">
        <v>39</v>
      </c>
      <c r="B21" s="2" t="s">
        <v>7</v>
      </c>
      <c r="C21" s="2">
        <v>22</v>
      </c>
      <c r="D21" s="2">
        <v>50</v>
      </c>
      <c r="E21" s="2">
        <v>96</v>
      </c>
      <c r="H21">
        <f t="shared" si="0"/>
        <v>52.083333333333336</v>
      </c>
    </row>
    <row r="22" spans="1:8">
      <c r="A22" s="2" t="s">
        <v>40</v>
      </c>
      <c r="B22" s="2" t="s">
        <v>19</v>
      </c>
      <c r="C22" s="2">
        <v>20</v>
      </c>
      <c r="D22" s="2">
        <v>93</v>
      </c>
      <c r="E22" s="2">
        <v>85</v>
      </c>
      <c r="H22">
        <f t="shared" si="0"/>
        <v>109.41176470588236</v>
      </c>
    </row>
    <row r="23" spans="1:8">
      <c r="A23" s="2" t="s">
        <v>41</v>
      </c>
      <c r="B23" s="2" t="s">
        <v>9</v>
      </c>
      <c r="C23" s="2">
        <v>18</v>
      </c>
      <c r="D23" s="2">
        <v>37</v>
      </c>
      <c r="E23" s="2">
        <v>57</v>
      </c>
      <c r="H23">
        <f t="shared" si="0"/>
        <v>64.912280701754383</v>
      </c>
    </row>
    <row r="24" spans="1:8">
      <c r="A24" s="2" t="s">
        <v>42</v>
      </c>
      <c r="B24" s="2" t="s">
        <v>7</v>
      </c>
      <c r="C24" s="2">
        <v>22</v>
      </c>
      <c r="D24" s="2">
        <v>54</v>
      </c>
      <c r="E24" s="2">
        <v>94</v>
      </c>
      <c r="H24">
        <f t="shared" si="0"/>
        <v>57.446808510638306</v>
      </c>
    </row>
    <row r="25" spans="1:8">
      <c r="A25" s="2" t="s">
        <v>43</v>
      </c>
      <c r="B25" s="2" t="s">
        <v>38</v>
      </c>
      <c r="C25" s="2">
        <v>27</v>
      </c>
      <c r="E25" s="2">
        <v>100</v>
      </c>
      <c r="H25">
        <f t="shared" si="0"/>
        <v>0</v>
      </c>
    </row>
    <row r="26" spans="1:8">
      <c r="A26" s="2" t="s">
        <v>44</v>
      </c>
      <c r="B26" s="2" t="s">
        <v>38</v>
      </c>
      <c r="C26" s="2">
        <v>24</v>
      </c>
      <c r="D26" s="2">
        <v>70</v>
      </c>
      <c r="E26" s="2">
        <v>78</v>
      </c>
      <c r="H26">
        <f t="shared" si="0"/>
        <v>89.743589743589752</v>
      </c>
    </row>
    <row r="27" spans="1:8">
      <c r="A27" s="2" t="s">
        <v>45</v>
      </c>
      <c r="B27" s="2" t="s">
        <v>12</v>
      </c>
      <c r="C27" s="2">
        <v>24</v>
      </c>
      <c r="D27" s="2">
        <v>53</v>
      </c>
      <c r="E27" s="2">
        <v>86</v>
      </c>
      <c r="H27">
        <f t="shared" si="0"/>
        <v>61.627906976744185</v>
      </c>
    </row>
    <row r="28" spans="1:8">
      <c r="A28" s="2" t="s">
        <v>46</v>
      </c>
      <c r="B28" s="2" t="s">
        <v>12</v>
      </c>
      <c r="C28" s="2">
        <v>28</v>
      </c>
      <c r="D28" s="2">
        <v>53</v>
      </c>
      <c r="E28" s="2">
        <v>76</v>
      </c>
      <c r="H28">
        <f t="shared" si="0"/>
        <v>69.73684210526315</v>
      </c>
    </row>
    <row r="29" spans="1:8">
      <c r="A29" s="2" t="s">
        <v>47</v>
      </c>
      <c r="B29" s="2" t="s">
        <v>19</v>
      </c>
      <c r="C29" s="2">
        <v>26</v>
      </c>
      <c r="D29" s="2">
        <v>54</v>
      </c>
      <c r="E29" s="2">
        <v>77</v>
      </c>
      <c r="H29">
        <f t="shared" si="0"/>
        <v>70.129870129870127</v>
      </c>
    </row>
    <row r="30" spans="1:8">
      <c r="A30" s="2" t="s">
        <v>48</v>
      </c>
      <c r="B30" s="2" t="s">
        <v>7</v>
      </c>
      <c r="C30" s="2">
        <v>27</v>
      </c>
      <c r="D30" s="2">
        <v>86</v>
      </c>
      <c r="E30" s="2">
        <v>56</v>
      </c>
      <c r="H30">
        <f t="shared" si="0"/>
        <v>153.57142857142858</v>
      </c>
    </row>
    <row r="31" spans="1:8">
      <c r="A31" s="2" t="s">
        <v>49</v>
      </c>
      <c r="B31" s="2" t="s">
        <v>7</v>
      </c>
      <c r="C31" s="2">
        <v>27</v>
      </c>
      <c r="D31" s="2">
        <v>67</v>
      </c>
      <c r="E31" s="2">
        <v>81</v>
      </c>
      <c r="H31">
        <f t="shared" si="0"/>
        <v>82.716049382716051</v>
      </c>
    </row>
    <row r="32" spans="1:8">
      <c r="A32" s="2" t="s">
        <v>50</v>
      </c>
      <c r="B32" s="2" t="s">
        <v>12</v>
      </c>
      <c r="C32" s="2">
        <v>29</v>
      </c>
      <c r="D32" s="2">
        <v>74</v>
      </c>
      <c r="E32" s="2">
        <v>96</v>
      </c>
      <c r="H32">
        <f t="shared" si="0"/>
        <v>77.083333333333343</v>
      </c>
    </row>
    <row r="33" spans="1:8">
      <c r="A33" s="2" t="s">
        <v>51</v>
      </c>
      <c r="B33" s="2" t="s">
        <v>7</v>
      </c>
      <c r="C33" s="2">
        <v>30</v>
      </c>
      <c r="D33" s="2">
        <v>73</v>
      </c>
      <c r="E33" s="2">
        <v>56</v>
      </c>
      <c r="H33">
        <f t="shared" si="0"/>
        <v>130.35714285714286</v>
      </c>
    </row>
    <row r="34" spans="1:8">
      <c r="A34" s="2" t="s">
        <v>52</v>
      </c>
      <c r="B34" s="2" t="s">
        <v>7</v>
      </c>
      <c r="C34" s="2">
        <v>20</v>
      </c>
      <c r="D34" s="2">
        <v>35</v>
      </c>
      <c r="E34" s="2">
        <v>80</v>
      </c>
      <c r="H34">
        <f t="shared" si="0"/>
        <v>43.75</v>
      </c>
    </row>
    <row r="35" spans="1:8">
      <c r="A35" s="2" t="s">
        <v>53</v>
      </c>
      <c r="B35" s="2" t="s">
        <v>38</v>
      </c>
      <c r="C35" s="2">
        <v>24</v>
      </c>
      <c r="D35" s="2">
        <v>45</v>
      </c>
      <c r="E35" s="2">
        <v>71</v>
      </c>
      <c r="H35">
        <f t="shared" si="0"/>
        <v>63.380281690140848</v>
      </c>
    </row>
    <row r="36" spans="1:8">
      <c r="A36" s="2" t="s">
        <v>54</v>
      </c>
      <c r="B36" s="2" t="s">
        <v>12</v>
      </c>
      <c r="C36" s="2">
        <v>18</v>
      </c>
      <c r="D36" s="2">
        <v>91</v>
      </c>
      <c r="E36" s="2">
        <v>94</v>
      </c>
      <c r="H36">
        <f t="shared" si="0"/>
        <v>96.808510638297875</v>
      </c>
    </row>
    <row r="37" spans="1:8">
      <c r="A37" s="2" t="s">
        <v>55</v>
      </c>
      <c r="B37" s="2" t="s">
        <v>9</v>
      </c>
      <c r="C37" s="2">
        <v>21</v>
      </c>
      <c r="D37" s="2">
        <v>84</v>
      </c>
      <c r="E37" s="2">
        <v>87</v>
      </c>
      <c r="H37">
        <f t="shared" si="0"/>
        <v>96.551724137931032</v>
      </c>
    </row>
    <row r="38" spans="1:8">
      <c r="A38" s="2" t="s">
        <v>56</v>
      </c>
      <c r="B38" s="2" t="s">
        <v>12</v>
      </c>
      <c r="C38" s="2">
        <v>30</v>
      </c>
      <c r="D38" s="2">
        <v>57</v>
      </c>
      <c r="E38" s="2">
        <v>63</v>
      </c>
      <c r="H38">
        <f t="shared" si="0"/>
        <v>90.476190476190482</v>
      </c>
    </row>
    <row r="39" spans="1:8">
      <c r="A39" s="2" t="s">
        <v>57</v>
      </c>
      <c r="B39" s="2" t="s">
        <v>9</v>
      </c>
      <c r="C39" s="2">
        <v>21</v>
      </c>
      <c r="D39" s="2">
        <v>65</v>
      </c>
      <c r="E39" s="2">
        <v>97</v>
      </c>
      <c r="H39">
        <f t="shared" si="0"/>
        <v>67.010309278350505</v>
      </c>
    </row>
    <row r="40" spans="1:8">
      <c r="A40" s="2" t="s">
        <v>58</v>
      </c>
      <c r="B40" s="2" t="s">
        <v>38</v>
      </c>
      <c r="C40" s="2">
        <v>22</v>
      </c>
      <c r="D40" s="2">
        <v>76</v>
      </c>
      <c r="H40" t="e">
        <f t="shared" si="0"/>
        <v>#DIV/0!</v>
      </c>
    </row>
    <row r="41" spans="1:8">
      <c r="A41" s="2" t="s">
        <v>59</v>
      </c>
      <c r="B41" s="2" t="s">
        <v>19</v>
      </c>
      <c r="C41" s="2">
        <v>24</v>
      </c>
      <c r="D41" s="2">
        <v>41</v>
      </c>
      <c r="E41" s="2">
        <v>83</v>
      </c>
      <c r="H41">
        <f t="shared" si="0"/>
        <v>49.397590361445779</v>
      </c>
    </row>
    <row r="42" spans="1:8">
      <c r="A42" s="2" t="s">
        <v>60</v>
      </c>
      <c r="B42" s="2" t="s">
        <v>7</v>
      </c>
      <c r="C42" s="2">
        <v>24</v>
      </c>
      <c r="D42" s="2">
        <v>50</v>
      </c>
      <c r="E42" s="2">
        <v>96</v>
      </c>
      <c r="H42">
        <f t="shared" si="0"/>
        <v>52.083333333333336</v>
      </c>
    </row>
    <row r="43" spans="1:8">
      <c r="A43" s="2" t="s">
        <v>61</v>
      </c>
      <c r="B43" s="2" t="s">
        <v>38</v>
      </c>
      <c r="C43" s="2">
        <v>30</v>
      </c>
      <c r="D43" s="2">
        <v>94</v>
      </c>
      <c r="E43" s="2">
        <v>80</v>
      </c>
      <c r="H43">
        <f t="shared" si="0"/>
        <v>117.5</v>
      </c>
    </row>
    <row r="44" spans="1:8">
      <c r="A44" s="2" t="s">
        <v>62</v>
      </c>
      <c r="B44" s="2" t="s">
        <v>7</v>
      </c>
      <c r="C44" s="2">
        <v>28</v>
      </c>
      <c r="D44" s="2">
        <v>36</v>
      </c>
      <c r="E44" s="2">
        <v>89</v>
      </c>
      <c r="H44">
        <f t="shared" si="0"/>
        <v>40.449438202247187</v>
      </c>
    </row>
    <row r="45" spans="1:8">
      <c r="A45" s="2" t="s">
        <v>63</v>
      </c>
      <c r="B45" s="2" t="s">
        <v>19</v>
      </c>
      <c r="C45" s="2">
        <v>30</v>
      </c>
      <c r="D45" s="2">
        <v>35</v>
      </c>
      <c r="E45" s="2">
        <v>79</v>
      </c>
      <c r="H45">
        <f t="shared" si="0"/>
        <v>44.303797468354425</v>
      </c>
    </row>
    <row r="46" spans="1:8">
      <c r="A46" s="2" t="s">
        <v>64</v>
      </c>
      <c r="B46" s="2" t="s">
        <v>19</v>
      </c>
      <c r="C46" s="2">
        <v>21</v>
      </c>
      <c r="D46" s="2">
        <v>82</v>
      </c>
      <c r="E46" s="2">
        <v>78</v>
      </c>
      <c r="H46">
        <f t="shared" si="0"/>
        <v>105.12820512820514</v>
      </c>
    </row>
    <row r="47" spans="1:8">
      <c r="A47" s="2" t="s">
        <v>65</v>
      </c>
      <c r="B47" s="2" t="s">
        <v>38</v>
      </c>
      <c r="C47" s="2">
        <v>30</v>
      </c>
      <c r="D47" s="2">
        <v>46</v>
      </c>
      <c r="E47" s="2">
        <v>67</v>
      </c>
      <c r="H47">
        <f t="shared" si="0"/>
        <v>68.656716417910445</v>
      </c>
    </row>
    <row r="48" spans="1:8">
      <c r="A48" s="2" t="s">
        <v>66</v>
      </c>
      <c r="B48" s="2" t="s">
        <v>19</v>
      </c>
      <c r="C48" s="2">
        <v>24</v>
      </c>
      <c r="D48" s="2">
        <v>71</v>
      </c>
      <c r="E48" s="2">
        <v>61</v>
      </c>
      <c r="H48">
        <f t="shared" si="0"/>
        <v>116.39344262295081</v>
      </c>
    </row>
    <row r="49" spans="1:8">
      <c r="A49" s="2" t="s">
        <v>67</v>
      </c>
      <c r="B49" s="2" t="s">
        <v>9</v>
      </c>
      <c r="C49" s="2">
        <v>28</v>
      </c>
      <c r="D49" s="2">
        <v>66</v>
      </c>
      <c r="E49" s="2">
        <v>90</v>
      </c>
      <c r="H49">
        <f t="shared" si="0"/>
        <v>73.333333333333329</v>
      </c>
    </row>
    <row r="50" spans="1:8">
      <c r="A50" s="2" t="s">
        <v>68</v>
      </c>
      <c r="B50" s="2" t="s">
        <v>19</v>
      </c>
      <c r="C50" s="2">
        <v>20</v>
      </c>
      <c r="D50" s="2">
        <v>43</v>
      </c>
      <c r="E50" s="2">
        <v>99</v>
      </c>
      <c r="H50">
        <f t="shared" si="0"/>
        <v>43.43434343434344</v>
      </c>
    </row>
    <row r="51" spans="1:8">
      <c r="A51" s="2" t="s">
        <v>69</v>
      </c>
      <c r="B51" s="2" t="s">
        <v>7</v>
      </c>
      <c r="C51" s="2">
        <v>23</v>
      </c>
      <c r="D51" s="2">
        <v>53</v>
      </c>
      <c r="E51" s="2">
        <v>74</v>
      </c>
      <c r="H51">
        <f t="shared" si="0"/>
        <v>71.621621621621628</v>
      </c>
    </row>
    <row r="52" spans="1:8">
      <c r="A52" s="2" t="s">
        <v>70</v>
      </c>
      <c r="B52" s="2" t="s">
        <v>7</v>
      </c>
      <c r="C52" s="2">
        <v>29</v>
      </c>
      <c r="D52" s="2">
        <v>82</v>
      </c>
      <c r="E52" s="2">
        <v>55</v>
      </c>
      <c r="H52">
        <f t="shared" si="0"/>
        <v>149.09090909090909</v>
      </c>
    </row>
    <row r="53" spans="1:8">
      <c r="A53" s="2" t="s">
        <v>71</v>
      </c>
      <c r="B53" s="2" t="s">
        <v>7</v>
      </c>
      <c r="C53" s="2">
        <v>19</v>
      </c>
      <c r="D53" s="2">
        <v>37</v>
      </c>
      <c r="E53" s="2">
        <v>62</v>
      </c>
      <c r="H53">
        <f t="shared" si="0"/>
        <v>59.677419354838712</v>
      </c>
    </row>
    <row r="54" spans="1:8">
      <c r="A54" s="2" t="s">
        <v>72</v>
      </c>
      <c r="B54" s="2" t="s">
        <v>7</v>
      </c>
      <c r="C54" s="2">
        <v>27</v>
      </c>
      <c r="D54" s="2">
        <v>54</v>
      </c>
      <c r="E54" s="2">
        <v>100</v>
      </c>
      <c r="H54">
        <f t="shared" si="0"/>
        <v>54</v>
      </c>
    </row>
    <row r="55" spans="1:8">
      <c r="A55" s="2" t="s">
        <v>73</v>
      </c>
      <c r="B55" s="2" t="s">
        <v>9</v>
      </c>
      <c r="C55" s="2">
        <v>30</v>
      </c>
      <c r="D55" s="2">
        <v>58</v>
      </c>
      <c r="E55" s="2">
        <v>70</v>
      </c>
      <c r="H55">
        <f t="shared" si="0"/>
        <v>82.857142857142861</v>
      </c>
    </row>
    <row r="56" spans="1:8">
      <c r="A56" s="2" t="s">
        <v>74</v>
      </c>
      <c r="B56" s="2" t="s">
        <v>12</v>
      </c>
      <c r="C56" s="2">
        <v>26</v>
      </c>
      <c r="D56" s="2">
        <v>88</v>
      </c>
      <c r="E56" s="2">
        <v>68</v>
      </c>
      <c r="H56">
        <f t="shared" si="0"/>
        <v>129.41176470588235</v>
      </c>
    </row>
    <row r="57" spans="1:8">
      <c r="A57" s="2" t="s">
        <v>75</v>
      </c>
      <c r="B57" s="2" t="s">
        <v>38</v>
      </c>
      <c r="C57" s="2">
        <v>22</v>
      </c>
      <c r="D57" s="2">
        <v>67</v>
      </c>
      <c r="E57" s="2">
        <v>66</v>
      </c>
      <c r="H57">
        <f t="shared" si="0"/>
        <v>101.51515151515152</v>
      </c>
    </row>
    <row r="58" spans="1:8">
      <c r="A58" s="2" t="s">
        <v>76</v>
      </c>
      <c r="B58" s="2" t="s">
        <v>7</v>
      </c>
      <c r="C58" s="2">
        <v>23</v>
      </c>
      <c r="E58" s="2">
        <v>77</v>
      </c>
      <c r="H58">
        <f t="shared" si="0"/>
        <v>0</v>
      </c>
    </row>
    <row r="59" spans="1:8">
      <c r="A59" s="2" t="s">
        <v>77</v>
      </c>
      <c r="B59" s="2" t="s">
        <v>19</v>
      </c>
      <c r="C59" s="2">
        <v>29</v>
      </c>
      <c r="D59" s="2">
        <v>70</v>
      </c>
      <c r="E59" s="2">
        <v>69</v>
      </c>
      <c r="H59">
        <f t="shared" si="0"/>
        <v>101.44927536231884</v>
      </c>
    </row>
    <row r="60" spans="1:8">
      <c r="A60" s="2" t="s">
        <v>78</v>
      </c>
      <c r="B60" s="2" t="s">
        <v>7</v>
      </c>
      <c r="C60" s="2">
        <v>29</v>
      </c>
      <c r="D60" s="2">
        <v>72</v>
      </c>
      <c r="E60" s="2">
        <v>82</v>
      </c>
      <c r="H60">
        <f t="shared" si="0"/>
        <v>87.804878048780495</v>
      </c>
    </row>
    <row r="61" spans="1:8">
      <c r="A61" s="2" t="s">
        <v>79</v>
      </c>
      <c r="B61" s="2" t="s">
        <v>19</v>
      </c>
      <c r="C61" s="2">
        <v>29</v>
      </c>
      <c r="D61" s="2">
        <v>59</v>
      </c>
      <c r="E61" s="2">
        <v>88</v>
      </c>
      <c r="H61">
        <f t="shared" si="0"/>
        <v>67.045454545454547</v>
      </c>
    </row>
    <row r="62" spans="1:8">
      <c r="A62" s="2" t="s">
        <v>80</v>
      </c>
      <c r="B62" s="2" t="s">
        <v>19</v>
      </c>
      <c r="C62" s="2">
        <v>29</v>
      </c>
      <c r="D62" s="2">
        <v>52</v>
      </c>
      <c r="E62" s="2">
        <v>56</v>
      </c>
      <c r="H62">
        <f t="shared" si="0"/>
        <v>92.857142857142861</v>
      </c>
    </row>
    <row r="63" spans="1:8">
      <c r="A63" s="2" t="s">
        <v>81</v>
      </c>
      <c r="B63" s="2" t="s">
        <v>7</v>
      </c>
      <c r="C63" s="2">
        <v>21</v>
      </c>
      <c r="D63" s="2">
        <v>100</v>
      </c>
      <c r="E63" s="2">
        <v>86</v>
      </c>
      <c r="H63">
        <f t="shared" si="0"/>
        <v>116.27906976744187</v>
      </c>
    </row>
    <row r="64" spans="1:8">
      <c r="A64" s="2" t="s">
        <v>82</v>
      </c>
      <c r="B64" s="2" t="s">
        <v>9</v>
      </c>
      <c r="C64" s="2">
        <v>28</v>
      </c>
      <c r="D64" s="2">
        <v>88</v>
      </c>
      <c r="H64" t="e">
        <f t="shared" si="0"/>
        <v>#DIV/0!</v>
      </c>
    </row>
    <row r="65" spans="1:8">
      <c r="A65" s="2" t="s">
        <v>83</v>
      </c>
      <c r="B65" s="2" t="s">
        <v>19</v>
      </c>
      <c r="C65" s="2">
        <v>27</v>
      </c>
      <c r="D65" s="2">
        <v>69</v>
      </c>
      <c r="E65" s="2">
        <v>76</v>
      </c>
      <c r="H65">
        <f t="shared" si="0"/>
        <v>90.789473684210535</v>
      </c>
    </row>
    <row r="66" spans="1:8">
      <c r="A66" s="2" t="s">
        <v>84</v>
      </c>
      <c r="B66" s="2" t="s">
        <v>19</v>
      </c>
      <c r="C66" s="2">
        <v>24</v>
      </c>
      <c r="D66" s="2">
        <v>95</v>
      </c>
      <c r="E66" s="2">
        <v>79</v>
      </c>
      <c r="H66">
        <f t="shared" si="0"/>
        <v>120.25316455696202</v>
      </c>
    </row>
    <row r="67" spans="1:8">
      <c r="A67" s="2" t="s">
        <v>85</v>
      </c>
      <c r="B67" s="2" t="s">
        <v>7</v>
      </c>
      <c r="C67" s="2">
        <v>29</v>
      </c>
      <c r="D67" s="2">
        <v>75</v>
      </c>
      <c r="E67" s="2">
        <v>76</v>
      </c>
      <c r="H67">
        <f t="shared" ref="H67:H101" si="1">D67/E67*100</f>
        <v>98.68421052631578</v>
      </c>
    </row>
    <row r="68" spans="1:8">
      <c r="A68" s="2" t="s">
        <v>86</v>
      </c>
      <c r="B68" s="2" t="s">
        <v>19</v>
      </c>
      <c r="C68" s="2">
        <v>26</v>
      </c>
      <c r="D68" s="2">
        <v>67</v>
      </c>
      <c r="E68" s="2">
        <v>76</v>
      </c>
      <c r="H68">
        <f t="shared" si="1"/>
        <v>88.157894736842096</v>
      </c>
    </row>
    <row r="69" spans="1:8">
      <c r="A69" s="2" t="s">
        <v>87</v>
      </c>
      <c r="B69" s="2" t="s">
        <v>19</v>
      </c>
      <c r="C69" s="2">
        <v>24</v>
      </c>
      <c r="D69" s="2">
        <v>67</v>
      </c>
      <c r="E69" s="2">
        <v>96</v>
      </c>
      <c r="H69">
        <f t="shared" si="1"/>
        <v>69.791666666666657</v>
      </c>
    </row>
    <row r="70" spans="1:8">
      <c r="A70" s="2" t="s">
        <v>88</v>
      </c>
      <c r="B70" s="2" t="s">
        <v>7</v>
      </c>
      <c r="C70" s="2">
        <v>18</v>
      </c>
      <c r="D70" s="2">
        <v>48</v>
      </c>
      <c r="E70" s="2">
        <v>60</v>
      </c>
      <c r="H70">
        <f t="shared" si="1"/>
        <v>80</v>
      </c>
    </row>
    <row r="71" spans="1:8">
      <c r="A71" s="2" t="s">
        <v>89</v>
      </c>
      <c r="B71" s="2" t="s">
        <v>7</v>
      </c>
      <c r="C71" s="2">
        <v>18</v>
      </c>
      <c r="D71" s="2">
        <v>55</v>
      </c>
      <c r="E71" s="2">
        <v>69</v>
      </c>
      <c r="H71">
        <f t="shared" si="1"/>
        <v>79.710144927536234</v>
      </c>
    </row>
    <row r="72" spans="1:8">
      <c r="A72" s="2" t="s">
        <v>90</v>
      </c>
      <c r="B72" s="2" t="s">
        <v>38</v>
      </c>
      <c r="C72" s="2">
        <v>26</v>
      </c>
      <c r="D72" s="2">
        <v>82</v>
      </c>
      <c r="E72" s="2">
        <v>97</v>
      </c>
      <c r="H72">
        <f t="shared" si="1"/>
        <v>84.536082474226802</v>
      </c>
    </row>
    <row r="73" spans="1:8">
      <c r="A73" s="2" t="s">
        <v>91</v>
      </c>
      <c r="B73" s="2" t="s">
        <v>9</v>
      </c>
      <c r="C73" s="2">
        <v>28</v>
      </c>
      <c r="D73" s="2">
        <v>54</v>
      </c>
      <c r="E73" s="2">
        <v>91</v>
      </c>
      <c r="H73">
        <f t="shared" si="1"/>
        <v>59.340659340659343</v>
      </c>
    </row>
    <row r="74" spans="1:8">
      <c r="A74" s="2" t="s">
        <v>92</v>
      </c>
      <c r="B74" s="2" t="s">
        <v>9</v>
      </c>
      <c r="C74" s="2">
        <v>26</v>
      </c>
      <c r="D74" s="2">
        <v>42</v>
      </c>
      <c r="E74" s="2">
        <v>87</v>
      </c>
      <c r="H74">
        <f t="shared" si="1"/>
        <v>48.275862068965516</v>
      </c>
    </row>
    <row r="75" spans="1:8">
      <c r="A75" s="2" t="s">
        <v>93</v>
      </c>
      <c r="B75" s="2" t="s">
        <v>19</v>
      </c>
      <c r="C75" s="2">
        <v>21</v>
      </c>
      <c r="D75" s="2">
        <v>41</v>
      </c>
      <c r="E75" s="2">
        <v>62</v>
      </c>
      <c r="H75">
        <f t="shared" si="1"/>
        <v>66.129032258064512</v>
      </c>
    </row>
    <row r="76" spans="1:8">
      <c r="A76" s="2" t="s">
        <v>94</v>
      </c>
      <c r="B76" s="2" t="s">
        <v>9</v>
      </c>
      <c r="C76" s="2">
        <v>30</v>
      </c>
      <c r="D76" s="2">
        <v>51</v>
      </c>
      <c r="E76" s="2">
        <v>98</v>
      </c>
      <c r="H76">
        <f t="shared" si="1"/>
        <v>52.040816326530617</v>
      </c>
    </row>
    <row r="77" spans="1:8">
      <c r="A77" s="2" t="s">
        <v>95</v>
      </c>
      <c r="B77" s="2" t="s">
        <v>19</v>
      </c>
      <c r="C77" s="2">
        <v>26</v>
      </c>
      <c r="D77" s="2">
        <v>67</v>
      </c>
      <c r="H77" t="e">
        <f t="shared" si="1"/>
        <v>#DIV/0!</v>
      </c>
    </row>
    <row r="78" spans="1:8">
      <c r="A78" s="2" t="s">
        <v>96</v>
      </c>
      <c r="B78" s="2" t="s">
        <v>38</v>
      </c>
      <c r="C78" s="2">
        <v>20</v>
      </c>
      <c r="D78" s="2">
        <v>82</v>
      </c>
      <c r="E78" s="2">
        <v>59</v>
      </c>
      <c r="H78">
        <f t="shared" si="1"/>
        <v>138.98305084745763</v>
      </c>
    </row>
    <row r="79" spans="1:8">
      <c r="A79" s="2" t="s">
        <v>97</v>
      </c>
      <c r="B79" s="2" t="s">
        <v>7</v>
      </c>
      <c r="C79" s="2">
        <v>24</v>
      </c>
      <c r="D79" s="2">
        <v>93</v>
      </c>
      <c r="E79" s="2">
        <v>93</v>
      </c>
      <c r="H79">
        <f t="shared" si="1"/>
        <v>100</v>
      </c>
    </row>
    <row r="80" spans="1:8">
      <c r="A80" s="2" t="s">
        <v>98</v>
      </c>
      <c r="B80" s="2" t="s">
        <v>7</v>
      </c>
      <c r="C80" s="2">
        <v>23</v>
      </c>
      <c r="D80" s="2">
        <v>56</v>
      </c>
      <c r="E80" s="2">
        <v>58</v>
      </c>
      <c r="H80">
        <f t="shared" si="1"/>
        <v>96.551724137931032</v>
      </c>
    </row>
    <row r="81" spans="1:8">
      <c r="A81" s="2" t="s">
        <v>99</v>
      </c>
      <c r="B81" s="2" t="s">
        <v>7</v>
      </c>
      <c r="C81" s="2">
        <v>25</v>
      </c>
      <c r="D81" s="2">
        <v>64</v>
      </c>
      <c r="E81" s="2">
        <v>60</v>
      </c>
      <c r="H81">
        <f t="shared" si="1"/>
        <v>106.66666666666667</v>
      </c>
    </row>
    <row r="82" spans="1:8">
      <c r="A82" s="2" t="s">
        <v>100</v>
      </c>
      <c r="B82" s="2" t="s">
        <v>9</v>
      </c>
      <c r="C82" s="2">
        <v>28</v>
      </c>
      <c r="D82" s="2">
        <v>72</v>
      </c>
      <c r="E82" s="2">
        <v>99</v>
      </c>
      <c r="H82">
        <f t="shared" si="1"/>
        <v>72.727272727272734</v>
      </c>
    </row>
    <row r="83" spans="1:8">
      <c r="A83" s="2" t="s">
        <v>101</v>
      </c>
      <c r="B83" s="2" t="s">
        <v>38</v>
      </c>
      <c r="C83" s="2">
        <v>26</v>
      </c>
      <c r="E83" s="2">
        <v>86</v>
      </c>
      <c r="H83">
        <f t="shared" si="1"/>
        <v>0</v>
      </c>
    </row>
    <row r="84" spans="1:8">
      <c r="A84" s="2" t="s">
        <v>102</v>
      </c>
      <c r="B84" s="2" t="s">
        <v>9</v>
      </c>
      <c r="C84" s="2">
        <v>22</v>
      </c>
      <c r="D84" s="2">
        <v>88</v>
      </c>
      <c r="E84" s="2">
        <v>84</v>
      </c>
      <c r="H84">
        <f t="shared" si="1"/>
        <v>104.76190476190477</v>
      </c>
    </row>
    <row r="85" spans="1:8">
      <c r="A85" s="2" t="s">
        <v>103</v>
      </c>
      <c r="B85" s="2" t="s">
        <v>9</v>
      </c>
      <c r="C85" s="2">
        <v>18</v>
      </c>
      <c r="D85" s="2">
        <v>42</v>
      </c>
      <c r="E85" s="2">
        <v>89</v>
      </c>
      <c r="H85">
        <f t="shared" si="1"/>
        <v>47.191011235955052</v>
      </c>
    </row>
    <row r="86" spans="1:8">
      <c r="A86" s="2" t="s">
        <v>104</v>
      </c>
      <c r="B86" s="2" t="s">
        <v>38</v>
      </c>
      <c r="C86" s="2">
        <v>20</v>
      </c>
      <c r="D86" s="2">
        <v>61</v>
      </c>
      <c r="E86" s="2">
        <v>94</v>
      </c>
      <c r="H86">
        <f t="shared" si="1"/>
        <v>64.893617021276597</v>
      </c>
    </row>
    <row r="87" spans="1:8">
      <c r="A87" s="2" t="s">
        <v>105</v>
      </c>
      <c r="B87" s="2" t="s">
        <v>38</v>
      </c>
      <c r="C87" s="2">
        <v>27</v>
      </c>
      <c r="D87" s="2">
        <v>61</v>
      </c>
      <c r="E87" s="2">
        <v>70</v>
      </c>
      <c r="H87">
        <f t="shared" si="1"/>
        <v>87.142857142857139</v>
      </c>
    </row>
    <row r="88" spans="1:8">
      <c r="A88" s="2" t="s">
        <v>106</v>
      </c>
      <c r="B88" s="2" t="s">
        <v>38</v>
      </c>
      <c r="C88" s="2">
        <v>29</v>
      </c>
      <c r="D88" s="2">
        <v>55</v>
      </c>
      <c r="E88" s="2">
        <v>67</v>
      </c>
      <c r="H88">
        <f t="shared" si="1"/>
        <v>82.089552238805979</v>
      </c>
    </row>
    <row r="89" spans="1:8">
      <c r="A89" s="2" t="s">
        <v>107</v>
      </c>
      <c r="B89" s="2" t="s">
        <v>38</v>
      </c>
      <c r="C89" s="2">
        <v>25</v>
      </c>
      <c r="D89" s="2">
        <v>64</v>
      </c>
      <c r="E89" s="2">
        <v>96</v>
      </c>
      <c r="H89">
        <f t="shared" si="1"/>
        <v>66.666666666666657</v>
      </c>
    </row>
    <row r="90" spans="1:8">
      <c r="A90" s="2" t="s">
        <v>108</v>
      </c>
      <c r="B90" s="2" t="s">
        <v>7</v>
      </c>
      <c r="C90" s="2">
        <v>28</v>
      </c>
      <c r="D90" s="2">
        <v>62</v>
      </c>
      <c r="E90" s="2">
        <v>84</v>
      </c>
      <c r="H90">
        <f t="shared" si="1"/>
        <v>73.80952380952381</v>
      </c>
    </row>
    <row r="91" spans="1:8">
      <c r="A91" s="2" t="s">
        <v>109</v>
      </c>
      <c r="B91" s="2" t="s">
        <v>12</v>
      </c>
      <c r="C91" s="2">
        <v>23</v>
      </c>
      <c r="D91" s="2">
        <v>98</v>
      </c>
      <c r="H91" t="e">
        <f t="shared" si="1"/>
        <v>#DIV/0!</v>
      </c>
    </row>
    <row r="92" spans="1:8">
      <c r="A92" s="2" t="s">
        <v>110</v>
      </c>
      <c r="B92" s="2" t="s">
        <v>12</v>
      </c>
      <c r="C92" s="2">
        <v>25</v>
      </c>
      <c r="D92" s="2">
        <v>95</v>
      </c>
      <c r="E92" s="2">
        <v>71</v>
      </c>
      <c r="H92">
        <f t="shared" si="1"/>
        <v>133.80281690140845</v>
      </c>
    </row>
    <row r="93" spans="1:8">
      <c r="A93" s="2" t="s">
        <v>111</v>
      </c>
      <c r="B93" s="2" t="s">
        <v>38</v>
      </c>
      <c r="C93" s="2">
        <v>26</v>
      </c>
      <c r="D93" s="2">
        <v>82</v>
      </c>
      <c r="E93" s="2">
        <v>73</v>
      </c>
      <c r="H93">
        <f t="shared" si="1"/>
        <v>112.32876712328768</v>
      </c>
    </row>
    <row r="94" spans="1:8">
      <c r="A94" s="2" t="s">
        <v>112</v>
      </c>
      <c r="B94" s="2" t="s">
        <v>12</v>
      </c>
      <c r="C94" s="2">
        <v>21</v>
      </c>
      <c r="D94" s="2">
        <v>53</v>
      </c>
      <c r="E94" s="2">
        <v>82</v>
      </c>
      <c r="H94">
        <f t="shared" si="1"/>
        <v>64.634146341463421</v>
      </c>
    </row>
    <row r="95" spans="1:8">
      <c r="A95" s="2" t="s">
        <v>113</v>
      </c>
      <c r="B95" s="2" t="s">
        <v>12</v>
      </c>
      <c r="C95" s="2">
        <v>18</v>
      </c>
      <c r="D95" s="2">
        <v>38</v>
      </c>
      <c r="E95" s="2">
        <v>80</v>
      </c>
      <c r="H95">
        <f t="shared" si="1"/>
        <v>47.5</v>
      </c>
    </row>
    <row r="96" spans="1:8">
      <c r="A96" s="2" t="s">
        <v>114</v>
      </c>
      <c r="B96" s="2" t="s">
        <v>38</v>
      </c>
      <c r="C96" s="2">
        <v>18</v>
      </c>
      <c r="E96" s="2">
        <v>91</v>
      </c>
      <c r="H96">
        <f t="shared" si="1"/>
        <v>0</v>
      </c>
    </row>
    <row r="97" spans="1:8">
      <c r="A97" s="2" t="s">
        <v>115</v>
      </c>
      <c r="B97" s="2" t="s">
        <v>12</v>
      </c>
      <c r="C97" s="2">
        <v>27</v>
      </c>
      <c r="D97" s="2">
        <v>98</v>
      </c>
      <c r="E97" s="2">
        <v>80</v>
      </c>
      <c r="H97">
        <f t="shared" si="1"/>
        <v>122.50000000000001</v>
      </c>
    </row>
    <row r="98" spans="1:8">
      <c r="A98" s="2" t="s">
        <v>116</v>
      </c>
      <c r="B98" s="2" t="s">
        <v>9</v>
      </c>
      <c r="C98" s="2">
        <v>21</v>
      </c>
      <c r="D98" s="2">
        <v>83</v>
      </c>
      <c r="E98" s="2">
        <v>77</v>
      </c>
      <c r="H98">
        <f t="shared" si="1"/>
        <v>107.79220779220779</v>
      </c>
    </row>
    <row r="99" spans="1:8">
      <c r="A99" s="2" t="s">
        <v>117</v>
      </c>
      <c r="B99" s="2" t="s">
        <v>19</v>
      </c>
      <c r="C99" s="2">
        <v>29</v>
      </c>
      <c r="D99" s="2">
        <v>51</v>
      </c>
      <c r="E99" s="2">
        <v>63</v>
      </c>
      <c r="H99">
        <f t="shared" si="1"/>
        <v>80.952380952380949</v>
      </c>
    </row>
    <row r="100" spans="1:8">
      <c r="A100" s="2" t="s">
        <v>118</v>
      </c>
      <c r="B100" s="2" t="s">
        <v>19</v>
      </c>
      <c r="C100" s="2">
        <v>24</v>
      </c>
      <c r="D100" s="2">
        <v>78</v>
      </c>
      <c r="E100" s="2">
        <v>66</v>
      </c>
      <c r="H100">
        <f t="shared" si="1"/>
        <v>118.18181818181819</v>
      </c>
    </row>
    <row r="101" spans="1:8">
      <c r="A101" s="2" t="s">
        <v>119</v>
      </c>
      <c r="B101" s="2" t="s">
        <v>38</v>
      </c>
      <c r="C101" s="2">
        <v>19</v>
      </c>
      <c r="D101" s="2">
        <v>64</v>
      </c>
      <c r="E101" s="2">
        <v>55</v>
      </c>
      <c r="H101">
        <f t="shared" si="1"/>
        <v>116.36363636363636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2026-08-21T10:23:11Z</dcterms:created>
  <dcterms:modified xsi:type="dcterms:W3CDTF">2026-08-21T10:47:58Z</dcterms:modified>
  <cp:category/>
  <cp:contentStatus/>
</cp:coreProperties>
</file>