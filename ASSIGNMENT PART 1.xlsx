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9F5B602F-6E60-49BD-9BD3-AD2B5BB4CC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1" l="1"/>
  <c r="I3" i="1"/>
  <c r="I4" i="1"/>
  <c r="I5" i="1"/>
  <c r="I6" i="1"/>
  <c r="I7" i="1"/>
  <c r="I8" i="1"/>
  <c r="I9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<sst xmlns="http://schemas.openxmlformats.org/spreadsheetml/2006/main" count="56" uniqueCount="45">
  <si>
    <t>Employee ID</t>
  </si>
  <si>
    <t>Employee Name</t>
  </si>
  <si>
    <t>Department</t>
  </si>
  <si>
    <t>Monthly Sales</t>
  </si>
  <si>
    <t>Attendance %</t>
  </si>
  <si>
    <t>Customer Rating</t>
  </si>
  <si>
    <t>Years of Service</t>
  </si>
  <si>
    <t>PERFORMANCE STATUS</t>
  </si>
  <si>
    <t>BONUS ELIGIBILITY</t>
  </si>
  <si>
    <t>SPECIAL RECOGNITION</t>
  </si>
  <si>
    <t>PERFORMANCE GRADE</t>
  </si>
  <si>
    <t>E001</t>
  </si>
  <si>
    <t>Ada Okoro</t>
  </si>
  <si>
    <t>Sales</t>
  </si>
  <si>
    <t>E002</t>
  </si>
  <si>
    <t>Daniel James</t>
  </si>
  <si>
    <t>E003</t>
  </si>
  <si>
    <t>Mercy David</t>
  </si>
  <si>
    <t>Marketing</t>
  </si>
  <si>
    <t>E004</t>
  </si>
  <si>
    <t>John Peter</t>
  </si>
  <si>
    <t>E005</t>
  </si>
  <si>
    <t>Grace Brown</t>
  </si>
  <si>
    <t>HR</t>
  </si>
  <si>
    <t>E006</t>
  </si>
  <si>
    <t>Michael John</t>
  </si>
  <si>
    <t>E007</t>
  </si>
  <si>
    <t>Esther Paul</t>
  </si>
  <si>
    <t>E008</t>
  </si>
  <si>
    <t>Samuel King</t>
  </si>
  <si>
    <t>Finance</t>
  </si>
  <si>
    <t>E009</t>
  </si>
  <si>
    <t>Favour James</t>
  </si>
  <si>
    <t>E010</t>
  </si>
  <si>
    <t>David Cole</t>
  </si>
  <si>
    <t>E011</t>
  </si>
  <si>
    <t>Anita George</t>
  </si>
  <si>
    <t>E012</t>
  </si>
  <si>
    <t>Peter Adams</t>
  </si>
  <si>
    <t>E013</t>
  </si>
  <si>
    <t>Sharon Obi</t>
  </si>
  <si>
    <t>E014</t>
  </si>
  <si>
    <t>Kelvin Mark</t>
  </si>
  <si>
    <t>E015</t>
  </si>
  <si>
    <t>Blessing 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</si>
</sst>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15" sqref="L15"/>
    </sheetView>
  </sheetViews>
  <sheetFormatPr defaultRowHeight="15"/>
  <cols>
    <col min="2" max="2" width="13.28515625" customWidth="1"/>
    <col min="3" max="3" width="12" customWidth="1"/>
    <col min="7" max="7" width="14.140625" customWidth="1"/>
    <col min="8" max="9" width="21.85546875" customWidth="1"/>
    <col min="10" max="11" width="21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3" t="s">
        <v>9</v>
      </c>
      <c r="K1" s="3" t="s">
        <v>10</v>
      </c>
    </row>
    <row r="2" spans="1:11">
      <c r="A2" s="2" t="s">
        <v>11</v>
      </c>
      <c r="B2" s="2" t="s">
        <v>12</v>
      </c>
      <c r="C2" s="2" t="s">
        <v>13</v>
      </c>
      <c r="D2" s="2">
        <v>850000</v>
      </c>
      <c r="E2" s="2">
        <v>96</v>
      </c>
      <c r="F2" s="2">
        <v>4.8</v>
      </c>
      <c r="G2" s="2">
        <v>5</v>
      </c>
      <c r="H2" s="2" t="str">
        <f>IF(AND(D2&gt;=700000,E2&gt;=95%),"EXCELLENT","STANDARD")</f>
        <v>EXCELLENT</v>
      </c>
      <c r="I2" s="2" t="str">
        <f>IF(AND(D2&gt;=600000,F2&gt;=4.5),"BONUS","NO BONUS")</f>
        <v>BONUS</v>
      </c>
      <c r="J2" t="str">
        <f>IF(OR(D2&gt;800000,F2&gt;4.8),"RECOGNITION","NO RECOGNITION")</f>
        <v>RECOGNITION</v>
      </c>
      <c r="K2" t="str">
        <f>IF(D2&gt;=800000,"A Sales",IF(D2&gt;=600000,"B Sales",IF(D2&gt;=400000,"C Sales","D Sales")))</f>
        <v>A Sales</v>
      </c>
    </row>
    <row r="3" spans="1:11">
      <c r="A3" s="2" t="s">
        <v>14</v>
      </c>
      <c r="B3" s="2" t="s">
        <v>15</v>
      </c>
      <c r="C3" s="2" t="s">
        <v>13</v>
      </c>
      <c r="D3" s="2">
        <v>620000</v>
      </c>
      <c r="E3" s="2">
        <v>89</v>
      </c>
      <c r="F3" s="2">
        <v>4.0999999999999996</v>
      </c>
      <c r="G3" s="2">
        <v>3</v>
      </c>
      <c r="H3" s="2" t="str">
        <f t="shared" ref="H3:H16" si="0">IF(AND(D3&gt;=700000,E3&gt;=95%),"EXCELLENT","STANDARD")</f>
        <v>STANDARD</v>
      </c>
      <c r="I3" s="2" t="str">
        <f t="shared" ref="I3:I16" si="1">IF(AND(D3&gt;=600000,F3&gt;=4.5),"BONUS","NO BONUS")</f>
        <v>NO BONUS</v>
      </c>
      <c r="J3" t="str">
        <f>IF(OR(D3&gt;800000,F3&gt;4.8),"RECOGNITION","NO RECOGNITION")</f>
        <v>NO RECOGNITION</v>
      </c>
      <c r="K3" t="str">
        <f>IF(D3&gt;=800000,"A Sales",IF(D3&gt;=600000,"B Sales",IF(D3&gt;=400000,"C Sales","D Sales")))</f>
        <v>B Sales</v>
      </c>
    </row>
    <row r="4" spans="1:11">
      <c r="A4" s="2" t="s">
        <v>16</v>
      </c>
      <c r="B4" s="2" t="s">
        <v>17</v>
      </c>
      <c r="C4" s="2" t="s">
        <v>18</v>
      </c>
      <c r="D4" s="2">
        <v>450000</v>
      </c>
      <c r="E4" s="2">
        <v>94</v>
      </c>
      <c r="F4" s="2">
        <v>4.5</v>
      </c>
      <c r="G4" s="2">
        <v>4</v>
      </c>
      <c r="H4" s="2" t="str">
        <f t="shared" si="0"/>
        <v>STANDARD</v>
      </c>
      <c r="I4" s="2" t="str">
        <f t="shared" si="1"/>
        <v>NO BONUS</v>
      </c>
      <c r="J4" t="str">
        <f>IF(OR(D4&gt;800000,F4&gt;4.8),"RECOGNITION","NO RECOGNITION")</f>
        <v>NO RECOGNITION</v>
      </c>
      <c r="K4" t="str">
        <f>IF(D4&gt;=800000,"A Sales",IF(D4&gt;=600000,"B Sales",IF(D4&gt;=400000,"C Sales","D Sales")))</f>
        <v>C Sales</v>
      </c>
    </row>
    <row r="5" spans="1:11">
      <c r="A5" s="2" t="s">
        <v>19</v>
      </c>
      <c r="B5" s="2" t="s">
        <v>20</v>
      </c>
      <c r="C5" s="2" t="s">
        <v>13</v>
      </c>
      <c r="D5" s="2">
        <v>920000</v>
      </c>
      <c r="E5" s="2">
        <v>98</v>
      </c>
      <c r="F5" s="2">
        <v>4.9000000000000004</v>
      </c>
      <c r="G5" s="2">
        <v>7</v>
      </c>
      <c r="H5" s="2" t="str">
        <f t="shared" si="0"/>
        <v>EXCELLENT</v>
      </c>
      <c r="I5" s="2" t="str">
        <f t="shared" si="1"/>
        <v>BONUS</v>
      </c>
      <c r="J5" t="str">
        <f>IF(OR(D5&gt;800000,F5&gt;4.8),"RECOGNITION","NO RECOGNITION")</f>
        <v>RECOGNITION</v>
      </c>
      <c r="K5" t="str">
        <f>IF(D5&gt;=800000,"A Sales",IF(D5&gt;=600000,"B Sales",IF(D5&gt;=400000,"C Sales","D Sales")))</f>
        <v>A Sales</v>
      </c>
    </row>
    <row r="6" spans="1:11">
      <c r="A6" s="2" t="s">
        <v>21</v>
      </c>
      <c r="B6" s="2" t="s">
        <v>22</v>
      </c>
      <c r="C6" s="2" t="s">
        <v>23</v>
      </c>
      <c r="D6" s="2">
        <v>380000</v>
      </c>
      <c r="E6" s="2">
        <v>91</v>
      </c>
      <c r="F6" s="2">
        <v>4</v>
      </c>
      <c r="G6" s="2">
        <v>2</v>
      </c>
      <c r="H6" s="2" t="str">
        <f t="shared" si="0"/>
        <v>STANDARD</v>
      </c>
      <c r="I6" s="2" t="str">
        <f t="shared" si="1"/>
        <v>NO BONUS</v>
      </c>
      <c r="J6" t="str">
        <f>IF(OR(D6&gt;800000,F6&gt;4.8),"RECOGNITION","NO RECOGNITION")</f>
        <v>NO RECOGNITION</v>
      </c>
      <c r="K6" t="str">
        <f>IF(D6&gt;=800000,"A Sales",IF(D6&gt;=600000,"B Sales",IF(D6&gt;=400000,"C Sales","D Sales")))</f>
        <v>D Sales</v>
      </c>
    </row>
    <row r="7" spans="1:11">
      <c r="A7" s="2" t="s">
        <v>24</v>
      </c>
      <c r="B7" s="2" t="s">
        <v>25</v>
      </c>
      <c r="C7" s="2" t="s">
        <v>18</v>
      </c>
      <c r="D7" s="2">
        <v>710000</v>
      </c>
      <c r="E7" s="2">
        <v>86</v>
      </c>
      <c r="F7" s="2">
        <v>4.3</v>
      </c>
      <c r="G7" s="2">
        <v>6</v>
      </c>
      <c r="H7" s="2" t="str">
        <f t="shared" si="0"/>
        <v>EXCELLENT</v>
      </c>
      <c r="I7" s="2" t="str">
        <f t="shared" si="1"/>
        <v>NO BONUS</v>
      </c>
      <c r="J7" t="str">
        <f>IF(OR(D7&gt;800000,F7&gt;4.8),"RECOGNITION","NO RECOGNITION")</f>
        <v>NO RECOGNITION</v>
      </c>
      <c r="K7" t="str">
        <f>IF(D7&gt;=800000,"A Sales",IF(D7&gt;=600000,"B Sales",IF(D7&gt;=400000,"C Sales","D Sales")))</f>
        <v>B Sales</v>
      </c>
    </row>
    <row r="8" spans="1:11">
      <c r="A8" s="2" t="s">
        <v>26</v>
      </c>
      <c r="B8" s="2" t="s">
        <v>27</v>
      </c>
      <c r="C8" s="2" t="s">
        <v>13</v>
      </c>
      <c r="D8" s="2">
        <v>550000</v>
      </c>
      <c r="E8" s="2">
        <v>97</v>
      </c>
      <c r="F8" s="2">
        <v>4.7</v>
      </c>
      <c r="G8" s="2">
        <v>4</v>
      </c>
      <c r="H8" s="2" t="str">
        <f t="shared" si="0"/>
        <v>STANDARD</v>
      </c>
      <c r="I8" s="2" t="str">
        <f t="shared" si="1"/>
        <v>NO BONUS</v>
      </c>
      <c r="J8" t="str">
        <f>IF(OR(D8&gt;800000,F8&gt;4.8),"RECOGNITION","NO RECOGNITION")</f>
        <v>NO RECOGNITION</v>
      </c>
      <c r="K8" t="str">
        <f>IF(D8&gt;=800000,"A Sales",IF(D8&gt;=600000,"B Sales",IF(D8&gt;=400000,"C Sales","D Sales")))</f>
        <v>C Sales</v>
      </c>
    </row>
    <row r="9" spans="1:11">
      <c r="A9" s="2" t="s">
        <v>28</v>
      </c>
      <c r="B9" s="2" t="s">
        <v>29</v>
      </c>
      <c r="C9" s="2" t="s">
        <v>30</v>
      </c>
      <c r="D9" s="2">
        <v>480000</v>
      </c>
      <c r="E9" s="2">
        <v>88</v>
      </c>
      <c r="F9" s="2">
        <v>3.9</v>
      </c>
      <c r="G9" s="2">
        <v>3</v>
      </c>
      <c r="H9" s="2" t="str">
        <f t="shared" si="0"/>
        <v>STANDARD</v>
      </c>
      <c r="I9" s="2" t="str">
        <f t="shared" si="1"/>
        <v>NO BONUS</v>
      </c>
      <c r="J9" t="str">
        <f>IF(OR(D9&gt;800000,F9&gt;4.8),"RECOGNITION","NO RECOGNITION")</f>
        <v>NO RECOGNITION</v>
      </c>
      <c r="K9" t="str">
        <f>IF(D9&gt;=800000,"A Sales",IF(D9&gt;=600000,"B Sales",IF(D9&gt;=400000,"C Sales","D Sales")))</f>
        <v>C Sales</v>
      </c>
    </row>
    <row r="10" spans="1:11">
      <c r="A10" s="2" t="s">
        <v>31</v>
      </c>
      <c r="B10" s="2" t="s">
        <v>32</v>
      </c>
      <c r="C10" s="2" t="s">
        <v>18</v>
      </c>
      <c r="D10" s="2">
        <v>800000</v>
      </c>
      <c r="E10" s="2">
        <v>95</v>
      </c>
      <c r="F10" s="2">
        <v>4.5999999999999996</v>
      </c>
      <c r="G10" s="2">
        <v>5</v>
      </c>
      <c r="H10" s="2" t="str">
        <f t="shared" si="0"/>
        <v>EXCELLENT</v>
      </c>
      <c r="I10" s="2" t="str">
        <f>IF(AND(D10&gt;=600000,F10&gt;=4.5),"BONUS","NO BONUS")</f>
        <v>BONUS</v>
      </c>
      <c r="J10" t="str">
        <f>IF(OR(D10&gt;800000,F10&gt;4.8),"RECOGNITION","NO RECOGNITION")</f>
        <v>NO RECOGNITION</v>
      </c>
      <c r="K10" t="str">
        <f>IF(D10&gt;=800000,"A Sales",IF(D10&gt;=600000,"B Sales",IF(D10&gt;=400000,"C Sales","D Sales")))</f>
        <v>A Sales</v>
      </c>
    </row>
    <row r="11" spans="1:11">
      <c r="A11" s="2" t="s">
        <v>33</v>
      </c>
      <c r="B11" s="2" t="s">
        <v>34</v>
      </c>
      <c r="C11" s="2" t="s">
        <v>13</v>
      </c>
      <c r="D11" s="2">
        <v>690000</v>
      </c>
      <c r="E11" s="2">
        <v>93</v>
      </c>
      <c r="F11" s="2">
        <v>4.2</v>
      </c>
      <c r="G11" s="2">
        <v>2</v>
      </c>
      <c r="H11" s="2" t="str">
        <f t="shared" si="0"/>
        <v>STANDARD</v>
      </c>
      <c r="I11" s="2" t="str">
        <f t="shared" si="1"/>
        <v>NO BONUS</v>
      </c>
      <c r="J11" t="str">
        <f>IF(OR(D11&gt;800000,F11&gt;4.8),"RECOGNITION","NO RECOGNITION")</f>
        <v>NO RECOGNITION</v>
      </c>
      <c r="K11" t="str">
        <f>IF(D11&gt;=800000,"A Sales",IF(D11&gt;=600000,"B Sales",IF(D11&gt;=400000,"C Sales","D Sales")))</f>
        <v>B Sales</v>
      </c>
    </row>
    <row r="12" spans="1:11">
      <c r="A12" s="2" t="s">
        <v>35</v>
      </c>
      <c r="B12" s="2" t="s">
        <v>36</v>
      </c>
      <c r="C12" s="2" t="s">
        <v>23</v>
      </c>
      <c r="D12" s="2">
        <v>420000</v>
      </c>
      <c r="E12" s="2">
        <v>96</v>
      </c>
      <c r="F12" s="2">
        <v>4.4000000000000004</v>
      </c>
      <c r="G12" s="2">
        <v>6</v>
      </c>
      <c r="H12" s="2" t="str">
        <f t="shared" si="0"/>
        <v>STANDARD</v>
      </c>
      <c r="I12" s="2" t="str">
        <f t="shared" si="1"/>
        <v>NO BONUS</v>
      </c>
      <c r="J12" t="str">
        <f>IF(OR(D12&gt;800000,F12&gt;4.8),"RECOGNITION","NO RECOGNITION")</f>
        <v>NO RECOGNITION</v>
      </c>
      <c r="K12" t="str">
        <f>IF(D12&gt;=800000,"A Sales",IF(D12&gt;=600000,"B Sales",IF(D12&gt;=400000,"C Sales","D Sales")))</f>
        <v>C Sales</v>
      </c>
    </row>
    <row r="13" spans="1:11">
      <c r="A13" s="2" t="s">
        <v>37</v>
      </c>
      <c r="B13" s="2" t="s">
        <v>38</v>
      </c>
      <c r="C13" s="2" t="s">
        <v>30</v>
      </c>
      <c r="D13" s="2">
        <v>760000</v>
      </c>
      <c r="E13" s="2">
        <v>90</v>
      </c>
      <c r="F13" s="2">
        <v>4.8</v>
      </c>
      <c r="G13" s="2">
        <v>8</v>
      </c>
      <c r="H13" s="2" t="str">
        <f t="shared" si="0"/>
        <v>EXCELLENT</v>
      </c>
      <c r="I13" s="2" t="str">
        <f t="shared" si="1"/>
        <v>BONUS</v>
      </c>
      <c r="J13" t="str">
        <f>IF(OR(D13&gt;800000,F13&gt;4.8),"RECOGNITION","NO RECOGNITION")</f>
        <v>NO RECOGNITION</v>
      </c>
      <c r="K13" t="str">
        <f>IF(D13&gt;=800000,"A Sales",IF(D13&gt;=600000,"B Sales",IF(D13&gt;=400000,"C Sales","D Sales")))</f>
        <v>B Sales</v>
      </c>
    </row>
    <row r="14" spans="1:11">
      <c r="A14" s="2" t="s">
        <v>39</v>
      </c>
      <c r="B14" s="2" t="s">
        <v>40</v>
      </c>
      <c r="C14" s="2" t="s">
        <v>13</v>
      </c>
      <c r="D14" s="2">
        <v>510000</v>
      </c>
      <c r="E14" s="2">
        <v>85</v>
      </c>
      <c r="F14" s="2">
        <v>4</v>
      </c>
      <c r="G14" s="2">
        <v>1</v>
      </c>
      <c r="H14" s="2" t="str">
        <f t="shared" si="0"/>
        <v>STANDARD</v>
      </c>
      <c r="I14" s="2" t="str">
        <f t="shared" si="1"/>
        <v>NO BONUS</v>
      </c>
      <c r="J14" t="str">
        <f>IF(OR(D14&gt;800000,F14&gt;4.8),"RECOGNITION","NO RECOGNITION")</f>
        <v>NO RECOGNITION</v>
      </c>
      <c r="K14" t="str">
        <f>IF(D14&gt;=800000,"A Sales",IF(D14&gt;=600000,"B Sales",IF(D14&gt;=400000,"C Sales","D Sales")))</f>
        <v>C Sales</v>
      </c>
    </row>
    <row r="15" spans="1:11">
      <c r="A15" s="2" t="s">
        <v>41</v>
      </c>
      <c r="B15" s="2" t="s">
        <v>42</v>
      </c>
      <c r="C15" s="2" t="s">
        <v>18</v>
      </c>
      <c r="D15" s="2">
        <v>880000</v>
      </c>
      <c r="E15" s="2">
        <v>97</v>
      </c>
      <c r="F15" s="2">
        <v>4.9000000000000004</v>
      </c>
      <c r="G15" s="2">
        <v>9</v>
      </c>
      <c r="H15" s="2" t="str">
        <f t="shared" si="0"/>
        <v>EXCELLENT</v>
      </c>
      <c r="I15" s="2" t="str">
        <f t="shared" si="1"/>
        <v>BONUS</v>
      </c>
      <c r="J15" t="str">
        <f>IF(OR(D15&gt;800000,F15&gt;4.8),"RECOGNITION","NO RECOGNITION")</f>
        <v>RECOGNITION</v>
      </c>
      <c r="K15" t="str">
        <f>IF(D15&gt;=800000,"A Sales",IF(D15&gt;=600000,"B Sales",IF(D15&gt;=400000,"C Sales","D Sales")))</f>
        <v>A Sales</v>
      </c>
    </row>
    <row r="16" spans="1:11">
      <c r="A16" s="2" t="s">
        <v>43</v>
      </c>
      <c r="B16" s="2" t="s">
        <v>44</v>
      </c>
      <c r="C16" s="2" t="s">
        <v>30</v>
      </c>
      <c r="D16" s="2">
        <v>600000</v>
      </c>
      <c r="E16" s="2">
        <v>92</v>
      </c>
      <c r="F16" s="2">
        <v>4.5</v>
      </c>
      <c r="G16" s="2">
        <v>4</v>
      </c>
      <c r="H16" s="2" t="str">
        <f t="shared" si="0"/>
        <v>STANDARD</v>
      </c>
      <c r="I16" s="2" t="str">
        <f t="shared" si="1"/>
        <v>BONUS</v>
      </c>
      <c r="J16" t="str">
        <f>IF(OR(D16&gt;800000,F16&gt;4.8),"RECOGNITION","NO RECOGNITION")</f>
        <v>NO RECOGNITION</v>
      </c>
      <c r="K16" t="str">
        <f>IF(D16&gt;=800000,"A Sales",IF(D16&gt;=600000,"B Sales",IF(D16&gt;=400000,"C Sales","D Sales")))</f>
        <v>B Sales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2026-09-01T08:58:31Z</dcterms:created>
  <dcterms:modified xsi:type="dcterms:W3CDTF">2026-09-02T08:56:09Z</dcterms:modified>
  <cp:category/>
  <cp:contentStatus/>
</cp:coreProperties>
</file>