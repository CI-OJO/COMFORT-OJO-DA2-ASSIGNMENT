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C554B344-5A6B-4DCE-8490-480D205D4FE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" i="1" l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<sst xmlns="http://schemas.openxmlformats.org/spreadsheetml/2006/main" count="140" uniqueCount="62">
  <si>
    <t>Order ID</t>
  </si>
  <si>
    <t>Salesperson</t>
  </si>
  <si>
    <t>Region</t>
  </si>
  <si>
    <t>Product</t>
  </si>
  <si>
    <t>Category</t>
  </si>
  <si>
    <t>Units Sold</t>
  </si>
  <si>
    <t>Sales Amount</t>
  </si>
  <si>
    <t>Payment Status</t>
  </si>
  <si>
    <t>O001</t>
  </si>
  <si>
    <t>Ada</t>
  </si>
  <si>
    <t>South</t>
  </si>
  <si>
    <t>Laptop</t>
  </si>
  <si>
    <t>Electronics</t>
  </si>
  <si>
    <t>Paid</t>
  </si>
  <si>
    <t>ORDERS IN SOUTH REGION</t>
  </si>
  <si>
    <t>O002</t>
  </si>
  <si>
    <t>John</t>
  </si>
  <si>
    <t>West</t>
  </si>
  <si>
    <t>Phone</t>
  </si>
  <si>
    <t>PAID ORDERS</t>
  </si>
  <si>
    <t>O003</t>
  </si>
  <si>
    <t>Mercy</t>
  </si>
  <si>
    <t>Printer</t>
  </si>
  <si>
    <t>Office</t>
  </si>
  <si>
    <t>Pending</t>
  </si>
  <si>
    <t>ELECTRONICS PRODUCTS</t>
  </si>
  <si>
    <t>O004</t>
  </si>
  <si>
    <t>David</t>
  </si>
  <si>
    <t>East</t>
  </si>
  <si>
    <t>TOTAL SALES IN SOUTH</t>
  </si>
  <si>
    <t>O005</t>
  </si>
  <si>
    <t>Grace</t>
  </si>
  <si>
    <t>Desk</t>
  </si>
  <si>
    <t>Furniture</t>
  </si>
  <si>
    <t>TOTALSALES FROM ELECTRONICS</t>
  </si>
  <si>
    <t>O006</t>
  </si>
  <si>
    <t>Peter</t>
  </si>
  <si>
    <t>TOTAL SALES AMOUNT BY ADA</t>
  </si>
  <si>
    <t>O007</t>
  </si>
  <si>
    <t>Anita</t>
  </si>
  <si>
    <t>Chair</t>
  </si>
  <si>
    <t>PAID ORDERS MADE IN SOUTH</t>
  </si>
  <si>
    <t>O008</t>
  </si>
  <si>
    <t>Samuel</t>
  </si>
  <si>
    <t>ELECTRONICS ORDERS IN WEST</t>
  </si>
  <si>
    <t>O009</t>
  </si>
  <si>
    <t>Favour</t>
  </si>
  <si>
    <t>SALES &gt; 500,000</t>
  </si>
  <si>
    <t>O010</t>
  </si>
  <si>
    <t>TOTAL SALES AMOUNT FOR PAID ORDERS IN SOUTH</t>
  </si>
  <si>
    <t>O011</t>
  </si>
  <si>
    <t>TOTAL SALES AMOUNT FOR ELECTRONICS IN SOUTH</t>
  </si>
  <si>
    <t>O012</t>
  </si>
  <si>
    <t>TOTAL SALES AMOUNT BY ADA FROM PAID ORDERS</t>
  </si>
  <si>
    <t>O013</t>
  </si>
  <si>
    <t>O014</t>
  </si>
  <si>
    <t>O015</t>
  </si>
  <si>
    <t>O016</t>
  </si>
  <si>
    <t>O017</t>
  </si>
  <si>
    <t>O018</t>
  </si>
  <si>
    <t>O019</t>
  </si>
  <si>
    <t>O020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</si>
</sst>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I9" sqref="I9"/>
    </sheetView>
  </sheetViews>
  <sheetFormatPr defaultRowHeight="15"/>
  <cols>
    <col min="2" max="2" width="13.28515625" customWidth="1"/>
    <col min="7" max="7" width="15.7109375" customWidth="1"/>
    <col min="8" max="8" width="14.28515625" customWidth="1"/>
    <col min="9" max="9" width="45.42578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10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5</v>
      </c>
      <c r="G2" s="3">
        <v>750000</v>
      </c>
      <c r="H2" s="3" t="s">
        <v>13</v>
      </c>
      <c r="I2" t="s">
        <v>14</v>
      </c>
      <c r="J2">
        <f>COUNTIF(C2:C21,"SOUTH")</f>
        <v>9</v>
      </c>
    </row>
    <row r="3" spans="1:10">
      <c r="A3" s="3" t="s">
        <v>15</v>
      </c>
      <c r="B3" s="3" t="s">
        <v>16</v>
      </c>
      <c r="C3" s="3" t="s">
        <v>17</v>
      </c>
      <c r="D3" s="3" t="s">
        <v>18</v>
      </c>
      <c r="E3" s="3" t="s">
        <v>12</v>
      </c>
      <c r="F3" s="3">
        <v>8</v>
      </c>
      <c r="G3" s="3">
        <v>480000</v>
      </c>
      <c r="H3" s="3" t="s">
        <v>13</v>
      </c>
      <c r="I3" t="s">
        <v>19</v>
      </c>
      <c r="J3">
        <f>COUNTIF(H2:H21,"PAID")</f>
        <v>13</v>
      </c>
    </row>
    <row r="4" spans="1:10">
      <c r="A4" s="3" t="s">
        <v>20</v>
      </c>
      <c r="B4" s="3" t="s">
        <v>21</v>
      </c>
      <c r="C4" s="3" t="s">
        <v>10</v>
      </c>
      <c r="D4" s="3" t="s">
        <v>22</v>
      </c>
      <c r="E4" s="3" t="s">
        <v>23</v>
      </c>
      <c r="F4" s="3">
        <v>4</v>
      </c>
      <c r="G4" s="3">
        <v>220000</v>
      </c>
      <c r="H4" s="3" t="s">
        <v>24</v>
      </c>
      <c r="I4" t="s">
        <v>25</v>
      </c>
      <c r="J4">
        <f>COUNTIF(E2:E21,"ELECTRONICS")</f>
        <v>11</v>
      </c>
    </row>
    <row r="5" spans="1:10">
      <c r="A5" s="3" t="s">
        <v>26</v>
      </c>
      <c r="B5" s="3" t="s">
        <v>27</v>
      </c>
      <c r="C5" s="3" t="s">
        <v>28</v>
      </c>
      <c r="D5" s="3" t="s">
        <v>11</v>
      </c>
      <c r="E5" s="3" t="s">
        <v>12</v>
      </c>
      <c r="F5" s="3">
        <v>3</v>
      </c>
      <c r="G5" s="3">
        <v>450000</v>
      </c>
      <c r="H5" s="3" t="s">
        <v>13</v>
      </c>
      <c r="I5" t="s">
        <v>29</v>
      </c>
      <c r="J5">
        <f>SUMIF(C2:C21,"SOUTH",G2:G21)</f>
        <v>4215000</v>
      </c>
    </row>
    <row r="6" spans="1:10">
      <c r="A6" s="3" t="s">
        <v>30</v>
      </c>
      <c r="B6" s="3" t="s">
        <v>31</v>
      </c>
      <c r="C6" s="3" t="s">
        <v>10</v>
      </c>
      <c r="D6" s="3" t="s">
        <v>32</v>
      </c>
      <c r="E6" s="3" t="s">
        <v>33</v>
      </c>
      <c r="F6" s="3">
        <v>6</v>
      </c>
      <c r="G6" s="3">
        <v>300000</v>
      </c>
      <c r="H6" s="3" t="s">
        <v>13</v>
      </c>
      <c r="I6" t="s">
        <v>34</v>
      </c>
      <c r="J6">
        <f>SUMIF(E2:E21,"ELECTRONICS",G2:G21)</f>
        <v>6450000</v>
      </c>
    </row>
    <row r="7" spans="1:10">
      <c r="A7" s="3" t="s">
        <v>35</v>
      </c>
      <c r="B7" s="3" t="s">
        <v>36</v>
      </c>
      <c r="C7" s="3" t="s">
        <v>17</v>
      </c>
      <c r="D7" s="3" t="s">
        <v>18</v>
      </c>
      <c r="E7" s="3" t="s">
        <v>12</v>
      </c>
      <c r="F7" s="3">
        <v>10</v>
      </c>
      <c r="G7" s="3">
        <v>600000</v>
      </c>
      <c r="H7" s="3" t="s">
        <v>24</v>
      </c>
      <c r="I7" t="s">
        <v>37</v>
      </c>
      <c r="J7">
        <f>SUMIF(B2:B21,"ADA",G2:G21)</f>
        <v>1335000</v>
      </c>
    </row>
    <row r="8" spans="1:10">
      <c r="A8" s="3" t="s">
        <v>38</v>
      </c>
      <c r="B8" s="3" t="s">
        <v>39</v>
      </c>
      <c r="C8" s="3" t="s">
        <v>10</v>
      </c>
      <c r="D8" s="3" t="s">
        <v>40</v>
      </c>
      <c r="E8" s="3" t="s">
        <v>33</v>
      </c>
      <c r="F8" s="3">
        <v>8</v>
      </c>
      <c r="G8" s="3">
        <v>240000</v>
      </c>
      <c r="H8" s="3" t="s">
        <v>13</v>
      </c>
      <c r="I8" t="s">
        <v>41</v>
      </c>
      <c r="J8">
        <f>COUNTIFS(C2:C21,"SOUTH",H2:H21,"PAID")</f>
        <v>8</v>
      </c>
    </row>
    <row r="9" spans="1:10">
      <c r="A9" s="3" t="s">
        <v>42</v>
      </c>
      <c r="B9" s="3" t="s">
        <v>43</v>
      </c>
      <c r="C9" s="3" t="s">
        <v>28</v>
      </c>
      <c r="D9" s="3" t="s">
        <v>22</v>
      </c>
      <c r="E9" s="3" t="s">
        <v>23</v>
      </c>
      <c r="F9" s="3">
        <v>5</v>
      </c>
      <c r="G9" s="3">
        <v>275000</v>
      </c>
      <c r="H9" s="3" t="s">
        <v>24</v>
      </c>
      <c r="I9" t="s">
        <v>44</v>
      </c>
      <c r="J9">
        <f>COUNTIFS(E2:E21,"ELECTRONICS",C2:C21,"WEST")</f>
        <v>4</v>
      </c>
    </row>
    <row r="10" spans="1:10">
      <c r="A10" s="3" t="s">
        <v>45</v>
      </c>
      <c r="B10" s="3" t="s">
        <v>46</v>
      </c>
      <c r="C10" s="3" t="s">
        <v>17</v>
      </c>
      <c r="D10" s="3" t="s">
        <v>11</v>
      </c>
      <c r="E10" s="3" t="s">
        <v>12</v>
      </c>
      <c r="F10" s="3">
        <v>4</v>
      </c>
      <c r="G10" s="3">
        <v>600000</v>
      </c>
      <c r="H10" s="3" t="s">
        <v>13</v>
      </c>
      <c r="I10" t="s">
        <v>47</v>
      </c>
      <c r="J10">
        <f>COUNTIF(G2:G21,"&gt;500000")</f>
        <v>7</v>
      </c>
    </row>
    <row r="11" spans="1:10">
      <c r="A11" s="3" t="s">
        <v>48</v>
      </c>
      <c r="B11" s="3" t="s">
        <v>9</v>
      </c>
      <c r="C11" s="3" t="s">
        <v>10</v>
      </c>
      <c r="D11" s="3" t="s">
        <v>18</v>
      </c>
      <c r="E11" s="3" t="s">
        <v>12</v>
      </c>
      <c r="F11" s="3">
        <v>7</v>
      </c>
      <c r="G11" s="3">
        <v>420000</v>
      </c>
      <c r="H11" s="3" t="s">
        <v>13</v>
      </c>
      <c r="I11" t="s">
        <v>49</v>
      </c>
      <c r="J11">
        <f>SUMIFS(G2:G21,H2:H21,"PAID",C2:C21,"SOUTH")</f>
        <v>3995000</v>
      </c>
    </row>
    <row r="12" spans="1:10">
      <c r="A12" s="3" t="s">
        <v>50</v>
      </c>
      <c r="B12" s="3" t="s">
        <v>16</v>
      </c>
      <c r="C12" s="3" t="s">
        <v>28</v>
      </c>
      <c r="D12" s="3" t="s">
        <v>32</v>
      </c>
      <c r="E12" s="3" t="s">
        <v>33</v>
      </c>
      <c r="F12" s="3">
        <v>5</v>
      </c>
      <c r="G12" s="3">
        <v>250000</v>
      </c>
      <c r="H12" s="3" t="s">
        <v>24</v>
      </c>
      <c r="I12" t="s">
        <v>51</v>
      </c>
      <c r="J12">
        <f>SUMIFS(G2:G21,E2:E21,"ELECTRONICS",C2:C21,"SOUTH")</f>
        <v>2670000</v>
      </c>
    </row>
    <row r="13" spans="1:10">
      <c r="A13" s="3" t="s">
        <v>52</v>
      </c>
      <c r="B13" s="3" t="s">
        <v>21</v>
      </c>
      <c r="C13" s="3" t="s">
        <v>10</v>
      </c>
      <c r="D13" s="3" t="s">
        <v>11</v>
      </c>
      <c r="E13" s="3" t="s">
        <v>12</v>
      </c>
      <c r="F13" s="3">
        <v>6</v>
      </c>
      <c r="G13" s="3">
        <v>900000</v>
      </c>
      <c r="H13" s="3" t="s">
        <v>13</v>
      </c>
      <c r="I13" t="s">
        <v>53</v>
      </c>
      <c r="J13">
        <f>SUMIFS(G2:G21,H2:H21,"PAID",B2:B21,"ADA")</f>
        <v>1170000</v>
      </c>
    </row>
    <row r="14" spans="1:10">
      <c r="A14" s="3" t="s">
        <v>54</v>
      </c>
      <c r="B14" s="3" t="s">
        <v>27</v>
      </c>
      <c r="C14" s="3" t="s">
        <v>17</v>
      </c>
      <c r="D14" s="3" t="s">
        <v>40</v>
      </c>
      <c r="E14" s="3" t="s">
        <v>33</v>
      </c>
      <c r="F14" s="3">
        <v>10</v>
      </c>
      <c r="G14" s="3">
        <v>300000</v>
      </c>
      <c r="H14" s="3" t="s">
        <v>13</v>
      </c>
    </row>
    <row r="15" spans="1:10">
      <c r="A15" s="3" t="s">
        <v>55</v>
      </c>
      <c r="B15" s="3" t="s">
        <v>31</v>
      </c>
      <c r="C15" s="3" t="s">
        <v>28</v>
      </c>
      <c r="D15" s="3" t="s">
        <v>18</v>
      </c>
      <c r="E15" s="3" t="s">
        <v>12</v>
      </c>
      <c r="F15" s="3">
        <v>6</v>
      </c>
      <c r="G15" s="3">
        <v>360000</v>
      </c>
      <c r="H15" s="3" t="s">
        <v>24</v>
      </c>
    </row>
    <row r="16" spans="1:10">
      <c r="A16" s="3" t="s">
        <v>56</v>
      </c>
      <c r="B16" s="3" t="s">
        <v>36</v>
      </c>
      <c r="C16" s="3" t="s">
        <v>10</v>
      </c>
      <c r="D16" s="3" t="s">
        <v>22</v>
      </c>
      <c r="E16" s="3" t="s">
        <v>23</v>
      </c>
      <c r="F16" s="3">
        <v>7</v>
      </c>
      <c r="G16" s="3">
        <v>385000</v>
      </c>
      <c r="H16" s="3" t="s">
        <v>13</v>
      </c>
    </row>
    <row r="17" spans="1:8">
      <c r="A17" s="3" t="s">
        <v>57</v>
      </c>
      <c r="B17" s="3" t="s">
        <v>39</v>
      </c>
      <c r="C17" s="3" t="s">
        <v>17</v>
      </c>
      <c r="D17" s="3" t="s">
        <v>11</v>
      </c>
      <c r="E17" s="3" t="s">
        <v>12</v>
      </c>
      <c r="F17" s="3">
        <v>5</v>
      </c>
      <c r="G17" s="3">
        <v>750000</v>
      </c>
      <c r="H17" s="3" t="s">
        <v>24</v>
      </c>
    </row>
    <row r="18" spans="1:8">
      <c r="A18" s="3" t="s">
        <v>58</v>
      </c>
      <c r="B18" s="3" t="s">
        <v>43</v>
      </c>
      <c r="C18" s="3" t="s">
        <v>10</v>
      </c>
      <c r="D18" s="3" t="s">
        <v>32</v>
      </c>
      <c r="E18" s="3" t="s">
        <v>33</v>
      </c>
      <c r="F18" s="3">
        <v>8</v>
      </c>
      <c r="G18" s="3">
        <v>400000</v>
      </c>
      <c r="H18" s="3" t="s">
        <v>13</v>
      </c>
    </row>
    <row r="19" spans="1:8">
      <c r="A19" s="3" t="s">
        <v>59</v>
      </c>
      <c r="B19" s="3" t="s">
        <v>46</v>
      </c>
      <c r="C19" s="3" t="s">
        <v>28</v>
      </c>
      <c r="D19" s="3" t="s">
        <v>18</v>
      </c>
      <c r="E19" s="3" t="s">
        <v>12</v>
      </c>
      <c r="F19" s="3">
        <v>9</v>
      </c>
      <c r="G19" s="3">
        <v>540000</v>
      </c>
      <c r="H19" s="3" t="s">
        <v>13</v>
      </c>
    </row>
    <row r="20" spans="1:8">
      <c r="A20" s="3" t="s">
        <v>60</v>
      </c>
      <c r="B20" s="3" t="s">
        <v>9</v>
      </c>
      <c r="C20" s="3" t="s">
        <v>17</v>
      </c>
      <c r="D20" s="3" t="s">
        <v>22</v>
      </c>
      <c r="E20" s="3" t="s">
        <v>23</v>
      </c>
      <c r="F20" s="3">
        <v>3</v>
      </c>
      <c r="G20" s="3">
        <v>165000</v>
      </c>
      <c r="H20" s="3" t="s">
        <v>24</v>
      </c>
    </row>
    <row r="21" spans="1:8">
      <c r="A21" s="3" t="s">
        <v>61</v>
      </c>
      <c r="B21" s="3" t="s">
        <v>16</v>
      </c>
      <c r="C21" s="3" t="s">
        <v>10</v>
      </c>
      <c r="D21" s="3" t="s">
        <v>11</v>
      </c>
      <c r="E21" s="3" t="s">
        <v>12</v>
      </c>
      <c r="F21" s="3">
        <v>4</v>
      </c>
      <c r="G21" s="3">
        <v>600000</v>
      </c>
      <c r="H21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2026-09-02T08:50:39Z</dcterms:created>
  <dcterms:modified xsi:type="dcterms:W3CDTF">2026-09-02T08:54:36Z</dcterms:modified>
  <cp:category/>
  <cp:contentStatus/>
</cp:coreProperties>
</file>